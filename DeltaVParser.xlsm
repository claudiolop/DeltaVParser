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"/>
    </mc:Choice>
  </mc:AlternateContent>
  <xr:revisionPtr revIDLastSave="291" documentId="8_{2A19A729-339A-45CF-8433-8A0F01AC4FEB}" xr6:coauthVersionLast="47" xr6:coauthVersionMax="47" xr10:uidLastSave="{DDD34000-7914-41A3-BEF6-67EE8B56AA52}"/>
  <bookViews>
    <workbookView xWindow="-120" yWindow="-120" windowWidth="29040" windowHeight="15720" xr2:uid="{AC2991D9-C2E0-487E-9B7C-E05B5184FE50}"/>
  </bookViews>
  <sheets>
    <sheet name="START" sheetId="2" r:id="rId1"/>
    <sheet name="Event Log" sheetId="4" r:id="rId2"/>
  </sheets>
  <functionGroups builtInGroupCount="19"/>
  <definedNames>
    <definedName name="ExternalData_1" localSheetId="1" hidden="1">'Event Log'!$A$1:$C$34</definedName>
    <definedName name="File_Path">START!$B$1</definedName>
    <definedName name="merge_data">START!$B$2</definedName>
    <definedName name="trace_data">START!$B$3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" l="1"/>
  <c r="H3" i="2"/>
  <c r="H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3A09C6B-C0C5-4538-B47A-4D2257BED88E}" keepAlive="1" name="Query - parser_events_" description="Connection to the 'parser_events_' query in the workbook." type="5" refreshedVersion="8" background="1" saveData="1">
    <dbPr connection="Provider=Microsoft.Mashup.OleDb.1;Data Source=$Workbook$;Location=parser_events_;Extended Properties=&quot;&quot;" command="SELECT * FROM [parser_events_]"/>
  </connection>
</connections>
</file>

<file path=xl/sharedStrings.xml><?xml version="1.0" encoding="utf-8"?>
<sst xmlns="http://schemas.openxmlformats.org/spreadsheetml/2006/main" count="125" uniqueCount="63">
  <si>
    <t>File</t>
  </si>
  <si>
    <t>Modules</t>
  </si>
  <si>
    <t>Start Time</t>
  </si>
  <si>
    <t>LSAVTRs</t>
  </si>
  <si>
    <t>Total Time</t>
  </si>
  <si>
    <t>LSDVTRs</t>
  </si>
  <si>
    <t>CEMs</t>
  </si>
  <si>
    <t>CEM</t>
  </si>
  <si>
    <t>Alarms</t>
  </si>
  <si>
    <t>Alarm Groups</t>
  </si>
  <si>
    <t>Errors</t>
  </si>
  <si>
    <t>EVENT</t>
  </si>
  <si>
    <t>Counting lines</t>
  </si>
  <si>
    <t>TIME STAMP</t>
  </si>
  <si>
    <t>TYPE</t>
  </si>
  <si>
    <t>MESSAGE</t>
  </si>
  <si>
    <t>ERROR</t>
  </si>
  <si>
    <t>WARNING</t>
  </si>
  <si>
    <t>Reading configuration file: TypeConfig.csv</t>
  </si>
  <si>
    <t>Reading configuration file: TableConfig.csv</t>
  </si>
  <si>
    <t>Reading configuration file: AvoidTypes.csv</t>
  </si>
  <si>
    <t>Reading configuration file: SkipTypes.csv</t>
  </si>
  <si>
    <t>Reading configuration file: SkipAttributes.csv</t>
  </si>
  <si>
    <t>Trace (2x Time)</t>
  </si>
  <si>
    <t>Merge</t>
  </si>
  <si>
    <t>Using: C:\Users\clope1\OneDrive - Bayer\Documents\01 Trabajo\01 - Projects\DeltaVParser\fhx\LLDVGIA.fhx</t>
  </si>
  <si>
    <t>Completed line count: 12.594.176</t>
  </si>
  <si>
    <t>Opening fhx file: LLDVGIA.fhx</t>
  </si>
  <si>
    <t>Creating data table: ETHERNET_IO_CONTROLLER_NODE</t>
  </si>
  <si>
    <t>Creating data table: ETHERNET_IO_CONTROLLER_NODE_data</t>
  </si>
  <si>
    <t>Creating data table: PROVOX_DISTRIBUTED_IO_CARD</t>
  </si>
  <si>
    <t>Creating data table: PROVOX_DISTRIBUTED_IO_CARD_data</t>
  </si>
  <si>
    <t>Creating data table: FIELDBUS_IO_CARD</t>
  </si>
  <si>
    <t>Creating data table: FIELDBUS_IO_CARD_data</t>
  </si>
  <si>
    <t>Creating data table: DEVICENET_CARD</t>
  </si>
  <si>
    <t>Creating data table: DEVICENET_CARD_data</t>
  </si>
  <si>
    <t>Creating data table: FIELDBUS_PHYSICAL_DEVICE</t>
  </si>
  <si>
    <t>Creating data table: FIELDBUS_PHYSICAL_DEVICE_data</t>
  </si>
  <si>
    <t>Creating data table: FIELDBUS_LOGICAL_DEVICE</t>
  </si>
  <si>
    <t>Creating data table: FIELDBUS_LOGICAL_DEVICE_data</t>
  </si>
  <si>
    <t>Creating data table: DEVICENET_DEVICE</t>
  </si>
  <si>
    <t>Creating data table: DEVICENET_DEVICE_data</t>
  </si>
  <si>
    <t>Creating data table: ETHERNET_IO_PHYSICAL_DEVICE</t>
  </si>
  <si>
    <t>Creating data table: ETHERNET_IO_PHYSICAL_DEVICE_data</t>
  </si>
  <si>
    <t>Creating data table: ETHERNET_IO_MODBUS_TCP_LOGICAL_DEVICE</t>
  </si>
  <si>
    <t>Creating data table: ETHERNET_IO_MODBUS_TCP_LOGICAL_DEVICE_data</t>
  </si>
  <si>
    <t>Creating data table: ALARM_REPORT</t>
  </si>
  <si>
    <t>Creating data table: ALARM_REPORT_data</t>
  </si>
  <si>
    <t>Completed processing file: LLDVGIA.fhx</t>
  </si>
  <si>
    <t>[2025-10-24 16:45:48]</t>
  </si>
  <si>
    <t>Merge option activated</t>
  </si>
  <si>
    <t>[2025-10-24 16:45:54]</t>
  </si>
  <si>
    <t>[2025-10-24 16:46:00]</t>
  </si>
  <si>
    <t>[2025-10-24 16:47:20]</t>
  </si>
  <si>
    <t>[2025-10-24 16:47:23]</t>
  </si>
  <si>
    <t>[2025-10-24 16:48:06]</t>
  </si>
  <si>
    <t>[2025-10-24 16:48:09]</t>
  </si>
  <si>
    <t>[2025-10-24 16:48:12]</t>
  </si>
  <si>
    <t>[2025-10-24 16:50:11]</t>
  </si>
  <si>
    <t>[2025-10-24 16:51:28]</t>
  </si>
  <si>
    <t>Failed to open file: schema.csv</t>
  </si>
  <si>
    <t>Total time: 5 min 39 sec</t>
  </si>
  <si>
    <t>C:\Users\clope1\OneDrive - Bayer\Documents\01 Trabajo\01 - Projects\DeltaVParser\fhx\PCL3.fhx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</si>
</sst>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u/>
      <sz val="11"/>
      <color rgb="FF00B0F0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1" xfId="0" applyFont="1" applyFill="1" applyBorder="1"/>
    <xf numFmtId="0" fontId="0" fillId="0" borderId="2" xfId="0" applyBorder="1"/>
    <xf numFmtId="0" fontId="4" fillId="0" borderId="0" xfId="1" applyFont="1"/>
    <xf numFmtId="0" fontId="5" fillId="0" borderId="0" xfId="0" applyFont="1"/>
    <xf numFmtId="19" fontId="0" fillId="0" borderId="2" xfId="0" applyNumberFormat="1" applyBorder="1"/>
    <xf numFmtId="164" fontId="0" fillId="0" borderId="2" xfId="0" applyNumberFormat="1" applyBorder="1"/>
    <xf numFmtId="0" fontId="1" fillId="2" borderId="3" xfId="0" applyFont="1" applyFill="1" applyBorder="1"/>
    <xf numFmtId="0" fontId="0" fillId="0" borderId="2" xfId="0" applyBorder="1" applyAlignment="1">
      <alignment horizontal="left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  <xf numFmtId="20" fontId="0" fillId="0" borderId="0" xfId="0" applyNumberFormat="1"/>
  </cellXfs>
  <cellStyles count="2">
    <cellStyle name="Hyperlink" xfId="1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connections" Target="connection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323850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28575</xdr:rowOff>
        </xdr:from>
        <xdr:to>
          <xdr:col>4</xdr:col>
          <xdr:colOff>323850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E0A2E9-60E5-4422-AA89-DB2A82C5EF4D}" autoFormatId="16" applyNumberFormats="0" applyBorderFormats="0" applyFontFormats="0" applyPatternFormats="0" applyAlignmentFormats="0" applyWidthHeightFormats="0">
  <queryTableRefresh nextId="7">
    <queryTableFields count="3">
      <queryTableField id="4" name="TIME STAMP" tableColumnId="4"/>
      <queryTableField id="5" name="TYPE" tableColumnId="5"/>
      <queryTableField id="6" name="MESSAG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CBD0C-8B7A-43D6-B2E6-1E98CF67DB3A}" name="parser_events_" displayName="parser_events_" ref="A1:C34" tableType="queryTable" totalsRowShown="0">
  <autoFilter ref="A1:C34" xr:uid="{DB1CBD0C-8B7A-43D6-B2E6-1E98CF67DB3A}"/>
  <tableColumns count="3">
    <tableColumn id="4" xr3:uid="{668B6FAE-F525-4F71-8DBB-E5F1F9B00888}" uniqueName="4" name="TIME STAMP" queryTableFieldId="4" dataDxfId="2"/>
    <tableColumn id="5" xr3:uid="{8EABA7A5-D2E6-4ECE-92EB-4BBCC7C2CAC4}" uniqueName="5" name="TYPE" queryTableFieldId="5" dataDxfId="1"/>
    <tableColumn id="6" xr3:uid="{CA221DAB-917D-44F4-98EC-2A628A6219A5}" uniqueName="6" name="MESSAG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A5D8-CC92-4FEF-AA92-3CF4AF1B7ADB}">
  <sheetPr codeName="Sheet13"/>
  <dimension ref="A1:L14"/>
  <sheetViews>
    <sheetView tabSelected="1" workbookViewId="0">
      <selection activeCell="C1" sqref="C1"/>
    </sheetView>
  </sheetViews>
  <sheetFormatPr defaultRowHeight="15" x14ac:dyDescent="0.25"/>
  <cols>
    <col min="1" max="1" width="16.42578125" bestFit="1" customWidth="1"/>
    <col min="2" max="2" width="91.140625" bestFit="1" customWidth="1"/>
    <col min="7" max="7" width="13.28515625" bestFit="1" customWidth="1"/>
    <col min="9" max="9" width="11.42578125" bestFit="1" customWidth="1"/>
  </cols>
  <sheetData>
    <row r="1" spans="1:12" x14ac:dyDescent="0.25">
      <c r="A1" s="1" t="s">
        <v>0</v>
      </c>
      <c r="B1" s="2" t="s">
        <v>62</v>
      </c>
      <c r="G1" s="1" t="s">
        <v>16</v>
      </c>
      <c r="H1" s="2">
        <f>COUNTIF(parser_events_[TYPE],START!G1)</f>
        <v>1</v>
      </c>
      <c r="I1" s="3" t="s">
        <v>1</v>
      </c>
      <c r="J1" s="4"/>
      <c r="K1" s="4"/>
      <c r="L1" s="4"/>
    </row>
    <row r="2" spans="1:12" x14ac:dyDescent="0.25">
      <c r="A2" s="1" t="s">
        <v>24</v>
      </c>
      <c r="B2" s="8" t="b">
        <v>1</v>
      </c>
      <c r="G2" s="1" t="s">
        <v>17</v>
      </c>
      <c r="H2" s="2">
        <f>COUNTIF(parser_events_[TYPE],START!G2)</f>
        <v>0</v>
      </c>
      <c r="I2" s="4"/>
      <c r="J2" s="4"/>
      <c r="K2" s="4"/>
      <c r="L2" s="4"/>
    </row>
    <row r="3" spans="1:12" x14ac:dyDescent="0.25">
      <c r="A3" s="1" t="s">
        <v>23</v>
      </c>
      <c r="B3" s="8" t="b">
        <v>0</v>
      </c>
      <c r="G3" s="1" t="s">
        <v>11</v>
      </c>
      <c r="H3" s="2">
        <f>COUNTIF(parser_events_[TYPE],START!G3)</f>
        <v>32</v>
      </c>
      <c r="I3" s="4"/>
      <c r="J3" s="4"/>
      <c r="K3" s="4"/>
      <c r="L3" s="4"/>
    </row>
    <row r="4" spans="1:12" x14ac:dyDescent="0.25">
      <c r="A4" s="1" t="s">
        <v>2</v>
      </c>
      <c r="B4" s="5">
        <v>0.74224537037037042</v>
      </c>
      <c r="G4" s="1" t="s">
        <v>3</v>
      </c>
      <c r="H4" s="2"/>
      <c r="I4" s="3" t="s">
        <v>3</v>
      </c>
      <c r="J4" s="4"/>
      <c r="K4" s="4"/>
      <c r="L4" s="4"/>
    </row>
    <row r="5" spans="1:12" x14ac:dyDescent="0.25">
      <c r="A5" s="1" t="s">
        <v>4</v>
      </c>
      <c r="B5" s="6">
        <v>1.4814814814814814E-3</v>
      </c>
      <c r="G5" s="1" t="s">
        <v>5</v>
      </c>
      <c r="H5" s="2"/>
      <c r="I5" s="3" t="s">
        <v>5</v>
      </c>
      <c r="J5" s="4"/>
      <c r="K5" s="4"/>
      <c r="L5" s="4"/>
    </row>
    <row r="6" spans="1:12" x14ac:dyDescent="0.25">
      <c r="G6" s="1" t="s">
        <v>6</v>
      </c>
      <c r="H6" s="2"/>
      <c r="I6" s="3" t="s">
        <v>6</v>
      </c>
      <c r="J6" s="3" t="s">
        <v>7</v>
      </c>
      <c r="K6" s="4"/>
      <c r="L6" s="4"/>
    </row>
    <row r="7" spans="1:12" x14ac:dyDescent="0.25">
      <c r="G7" s="7" t="s">
        <v>8</v>
      </c>
      <c r="H7" s="2"/>
      <c r="I7" s="3" t="s">
        <v>8</v>
      </c>
      <c r="J7" s="4"/>
      <c r="K7" s="4"/>
      <c r="L7" s="4"/>
    </row>
    <row r="8" spans="1:12" x14ac:dyDescent="0.25">
      <c r="G8" s="7" t="s">
        <v>9</v>
      </c>
      <c r="H8" s="2"/>
      <c r="I8" s="3" t="s">
        <v>9</v>
      </c>
      <c r="J8" s="4"/>
      <c r="K8" s="4"/>
      <c r="L8" s="4"/>
    </row>
    <row r="9" spans="1:12" x14ac:dyDescent="0.25">
      <c r="G9" s="7" t="s">
        <v>10</v>
      </c>
      <c r="H9" s="2"/>
      <c r="I9" s="3" t="s">
        <v>10</v>
      </c>
      <c r="J9" s="4"/>
      <c r="K9" s="4"/>
      <c r="L9" s="4"/>
    </row>
    <row r="10" spans="1:12" x14ac:dyDescent="0.25">
      <c r="I10" s="4"/>
      <c r="J10" s="4"/>
      <c r="K10" s="4"/>
      <c r="L10" s="4"/>
    </row>
    <row r="11" spans="1:12" x14ac:dyDescent="0.25">
      <c r="I11" s="4"/>
      <c r="J11" s="4"/>
      <c r="K11" s="4"/>
      <c r="L11" s="4"/>
    </row>
    <row r="12" spans="1:12" x14ac:dyDescent="0.25">
      <c r="C12" s="9"/>
      <c r="I12" s="4"/>
      <c r="J12" s="4"/>
      <c r="K12" s="4"/>
      <c r="L12" s="4"/>
    </row>
    <row r="13" spans="1:12" x14ac:dyDescent="0.25">
      <c r="I13" s="4"/>
      <c r="J13" s="4"/>
      <c r="K13" s="4"/>
      <c r="L13" s="4"/>
    </row>
    <row r="14" spans="1:12" x14ac:dyDescent="0.25">
      <c r="B14" s="10"/>
    </row>
  </sheetData>
  <conditionalFormatting sqref="H9">
    <cfRule type="cellIs" dxfId="3" priority="1" operator="greaterThan">
      <formula>0</formula>
    </cfRule>
  </conditionalFormatting>
  <hyperlinks>
    <hyperlink ref="I1" location="Modules!A1" display="Modules!A1" xr:uid="{7B6C783A-929A-422D-85D0-580E7E8B0987}"/>
    <hyperlink ref="I4" location="LSAVTR!A1" display="LSAVTRs" xr:uid="{E8941A4F-0CA7-4F2E-B756-5FB0887C7523}"/>
    <hyperlink ref="I5" location="LSDVTR!A1" display="LSDVTRs" xr:uid="{F1EA24C6-781B-41EE-B836-C3E237CF0E29}"/>
    <hyperlink ref="I6" location="LSCEMs!A1" display="CEMs" xr:uid="{A6AFE5D0-199D-4E44-86DD-09B2FF3A0A1C}"/>
    <hyperlink ref="J6" location="CEM!A1" display="CEM" xr:uid="{140E6497-7524-4C23-B894-DCDC9199C0BD}"/>
    <hyperlink ref="I7" location="ALARMS!A1" display="Alarms" xr:uid="{149F506A-6EA1-4CB9-9A4E-44C6FFABDC56}"/>
    <hyperlink ref="I8" location="'ALARM GROUPS'!A1" display="Alarm Groups" xr:uid="{CAEA055F-6A2B-49A2-88F8-9C5A9DB17C12}"/>
    <hyperlink ref="I9" location="ErrorLog!A1" display="Errors" xr:uid="{722DC881-9AAA-4D2F-ACD2-4E302C14A09F}"/>
  </hyperlinks>
  <pageMargins left="0.7" right="0.7" top="0.75" bottom="0.75" header="0.3" footer="0.3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OpenFileDialogWithStartPath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DeltaVParser">
                <anchor moveWithCells="1" sizeWithCells="1">
                  <from>
                    <xdr:col>2</xdr:col>
                    <xdr:colOff>419100</xdr:colOff>
                    <xdr:row>0</xdr:row>
                    <xdr:rowOff>28575</xdr:rowOff>
                  </from>
                  <to>
                    <xdr:col>4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1B19-2E43-49C9-9F07-C3EADD69A817}">
  <sheetPr codeName="Sheet2"/>
  <dimension ref="A1:C34"/>
  <sheetViews>
    <sheetView showGridLines="0" topLeftCell="A10" workbookViewId="0">
      <selection activeCell="F37" sqref="F37"/>
    </sheetView>
  </sheetViews>
  <sheetFormatPr defaultRowHeight="15" x14ac:dyDescent="0.25"/>
  <cols>
    <col min="1" max="1" width="19.42578125" bestFit="1" customWidth="1"/>
    <col min="2" max="2" width="7.7109375" bestFit="1" customWidth="1"/>
    <col min="3" max="3" width="81.140625" bestFit="1" customWidth="1"/>
    <col min="4" max="4" width="19.42578125" bestFit="1" customWidth="1"/>
    <col min="5" max="5" width="11.42578125" bestFit="1" customWidth="1"/>
    <col min="6" max="6" width="34.42578125" bestFit="1" customWidth="1"/>
  </cols>
  <sheetData>
    <row r="1" spans="1:3" x14ac:dyDescent="0.25">
      <c r="A1" t="s">
        <v>13</v>
      </c>
      <c r="B1" t="s">
        <v>14</v>
      </c>
      <c r="C1" t="s">
        <v>15</v>
      </c>
    </row>
    <row r="2" spans="1:3" x14ac:dyDescent="0.25">
      <c r="A2" t="s">
        <v>49</v>
      </c>
      <c r="B2" t="s">
        <v>11</v>
      </c>
      <c r="C2" t="s">
        <v>25</v>
      </c>
    </row>
    <row r="3" spans="1:3" x14ac:dyDescent="0.25">
      <c r="A3" t="s">
        <v>49</v>
      </c>
      <c r="B3" t="s">
        <v>11</v>
      </c>
      <c r="C3" t="s">
        <v>50</v>
      </c>
    </row>
    <row r="4" spans="1:3" x14ac:dyDescent="0.25">
      <c r="A4" t="s">
        <v>49</v>
      </c>
      <c r="B4" t="s">
        <v>11</v>
      </c>
      <c r="C4" t="s">
        <v>18</v>
      </c>
    </row>
    <row r="5" spans="1:3" x14ac:dyDescent="0.25">
      <c r="A5" t="s">
        <v>49</v>
      </c>
      <c r="B5" t="s">
        <v>11</v>
      </c>
      <c r="C5" t="s">
        <v>19</v>
      </c>
    </row>
    <row r="6" spans="1:3" x14ac:dyDescent="0.25">
      <c r="A6" t="s">
        <v>49</v>
      </c>
      <c r="B6" t="s">
        <v>11</v>
      </c>
      <c r="C6" t="s">
        <v>20</v>
      </c>
    </row>
    <row r="7" spans="1:3" x14ac:dyDescent="0.25">
      <c r="A7" t="s">
        <v>49</v>
      </c>
      <c r="B7" t="s">
        <v>11</v>
      </c>
      <c r="C7" t="s">
        <v>21</v>
      </c>
    </row>
    <row r="8" spans="1:3" x14ac:dyDescent="0.25">
      <c r="A8" t="s">
        <v>49</v>
      </c>
      <c r="B8" t="s">
        <v>11</v>
      </c>
      <c r="C8" t="s">
        <v>22</v>
      </c>
    </row>
    <row r="9" spans="1:3" x14ac:dyDescent="0.25">
      <c r="A9" t="s">
        <v>49</v>
      </c>
      <c r="B9" t="s">
        <v>11</v>
      </c>
      <c r="C9" t="s">
        <v>12</v>
      </c>
    </row>
    <row r="10" spans="1:3" x14ac:dyDescent="0.25">
      <c r="A10" t="s">
        <v>51</v>
      </c>
      <c r="B10" t="s">
        <v>11</v>
      </c>
      <c r="C10" t="s">
        <v>26</v>
      </c>
    </row>
    <row r="11" spans="1:3" x14ac:dyDescent="0.25">
      <c r="A11" t="s">
        <v>51</v>
      </c>
      <c r="B11" t="s">
        <v>11</v>
      </c>
      <c r="C11" t="s">
        <v>27</v>
      </c>
    </row>
    <row r="12" spans="1:3" x14ac:dyDescent="0.25">
      <c r="A12" t="s">
        <v>52</v>
      </c>
      <c r="B12" t="s">
        <v>11</v>
      </c>
      <c r="C12" t="s">
        <v>28</v>
      </c>
    </row>
    <row r="13" spans="1:3" x14ac:dyDescent="0.25">
      <c r="A13" t="s">
        <v>52</v>
      </c>
      <c r="B13" t="s">
        <v>11</v>
      </c>
      <c r="C13" t="s">
        <v>29</v>
      </c>
    </row>
    <row r="14" spans="1:3" x14ac:dyDescent="0.25">
      <c r="A14" t="s">
        <v>53</v>
      </c>
      <c r="B14" t="s">
        <v>11</v>
      </c>
      <c r="C14" t="s">
        <v>30</v>
      </c>
    </row>
    <row r="15" spans="1:3" x14ac:dyDescent="0.25">
      <c r="A15" t="s">
        <v>53</v>
      </c>
      <c r="B15" t="s">
        <v>11</v>
      </c>
      <c r="C15" t="s">
        <v>31</v>
      </c>
    </row>
    <row r="16" spans="1:3" x14ac:dyDescent="0.25">
      <c r="A16" t="s">
        <v>54</v>
      </c>
      <c r="B16" t="s">
        <v>11</v>
      </c>
      <c r="C16" t="s">
        <v>32</v>
      </c>
    </row>
    <row r="17" spans="1:3" x14ac:dyDescent="0.25">
      <c r="A17" t="s">
        <v>54</v>
      </c>
      <c r="B17" t="s">
        <v>11</v>
      </c>
      <c r="C17" t="s">
        <v>33</v>
      </c>
    </row>
    <row r="18" spans="1:3" x14ac:dyDescent="0.25">
      <c r="A18" t="s">
        <v>54</v>
      </c>
      <c r="B18" t="s">
        <v>11</v>
      </c>
      <c r="C18" t="s">
        <v>34</v>
      </c>
    </row>
    <row r="19" spans="1:3" x14ac:dyDescent="0.25">
      <c r="A19" t="s">
        <v>54</v>
      </c>
      <c r="B19" t="s">
        <v>11</v>
      </c>
      <c r="C19" t="s">
        <v>35</v>
      </c>
    </row>
    <row r="20" spans="1:3" x14ac:dyDescent="0.25">
      <c r="A20" t="s">
        <v>55</v>
      </c>
      <c r="B20" t="s">
        <v>11</v>
      </c>
      <c r="C20" t="s">
        <v>36</v>
      </c>
    </row>
    <row r="21" spans="1:3" x14ac:dyDescent="0.25">
      <c r="A21" t="s">
        <v>55</v>
      </c>
      <c r="B21" t="s">
        <v>11</v>
      </c>
      <c r="C21" t="s">
        <v>37</v>
      </c>
    </row>
    <row r="22" spans="1:3" x14ac:dyDescent="0.25">
      <c r="A22" t="s">
        <v>56</v>
      </c>
      <c r="B22" t="s">
        <v>11</v>
      </c>
      <c r="C22" t="s">
        <v>38</v>
      </c>
    </row>
    <row r="23" spans="1:3" x14ac:dyDescent="0.25">
      <c r="A23" t="s">
        <v>56</v>
      </c>
      <c r="B23" t="s">
        <v>11</v>
      </c>
      <c r="C23" t="s">
        <v>39</v>
      </c>
    </row>
    <row r="24" spans="1:3" x14ac:dyDescent="0.25">
      <c r="A24" t="s">
        <v>56</v>
      </c>
      <c r="B24" t="s">
        <v>11</v>
      </c>
      <c r="C24" t="s">
        <v>40</v>
      </c>
    </row>
    <row r="25" spans="1:3" x14ac:dyDescent="0.25">
      <c r="A25" t="s">
        <v>56</v>
      </c>
      <c r="B25" t="s">
        <v>11</v>
      </c>
      <c r="C25" t="s">
        <v>41</v>
      </c>
    </row>
    <row r="26" spans="1:3" x14ac:dyDescent="0.25">
      <c r="A26" t="s">
        <v>57</v>
      </c>
      <c r="B26" t="s">
        <v>11</v>
      </c>
      <c r="C26" t="s">
        <v>42</v>
      </c>
    </row>
    <row r="27" spans="1:3" x14ac:dyDescent="0.25">
      <c r="A27" t="s">
        <v>57</v>
      </c>
      <c r="B27" t="s">
        <v>11</v>
      </c>
      <c r="C27" t="s">
        <v>43</v>
      </c>
    </row>
    <row r="28" spans="1:3" x14ac:dyDescent="0.25">
      <c r="A28" t="s">
        <v>57</v>
      </c>
      <c r="B28" t="s">
        <v>11</v>
      </c>
      <c r="C28" t="s">
        <v>44</v>
      </c>
    </row>
    <row r="29" spans="1:3" x14ac:dyDescent="0.25">
      <c r="A29" t="s">
        <v>57</v>
      </c>
      <c r="B29" t="s">
        <v>11</v>
      </c>
      <c r="C29" t="s">
        <v>45</v>
      </c>
    </row>
    <row r="30" spans="1:3" x14ac:dyDescent="0.25">
      <c r="A30" t="s">
        <v>58</v>
      </c>
      <c r="B30" t="s">
        <v>11</v>
      </c>
      <c r="C30" t="s">
        <v>46</v>
      </c>
    </row>
    <row r="31" spans="1:3" x14ac:dyDescent="0.25">
      <c r="A31" t="s">
        <v>58</v>
      </c>
      <c r="B31" t="s">
        <v>11</v>
      </c>
      <c r="C31" t="s">
        <v>47</v>
      </c>
    </row>
    <row r="32" spans="1:3" x14ac:dyDescent="0.25">
      <c r="A32" t="s">
        <v>59</v>
      </c>
      <c r="B32" t="s">
        <v>16</v>
      </c>
      <c r="C32" t="s">
        <v>60</v>
      </c>
    </row>
    <row r="33" spans="1:3" x14ac:dyDescent="0.25">
      <c r="A33" t="s">
        <v>59</v>
      </c>
      <c r="B33" t="s">
        <v>11</v>
      </c>
      <c r="C33" t="s">
        <v>48</v>
      </c>
    </row>
    <row r="34" spans="1:3" x14ac:dyDescent="0.25">
      <c r="A34" t="s">
        <v>59</v>
      </c>
      <c r="B34" t="s">
        <v>11</v>
      </c>
      <c r="C34" t="s">
        <v>61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87EA1C-94C1-42FA-9261-82BE6DBA7A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START</vt:lpstr>
      <vt:lpstr>Event Log</vt:lpstr>
      <vt:lpstr>File_Path</vt:lpstr>
      <vt:lpstr>merge_data</vt:lpstr>
      <vt:lpstr>trace_data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2025-10-24T00:36:36Z</dcterms:created>
  <dcterms:modified xsi:type="dcterms:W3CDTF">2025-10-26T04:48:29Z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2025-10-24T00:40:29Z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7eaf8100-b9cf-4819-8267-f618c944eb10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