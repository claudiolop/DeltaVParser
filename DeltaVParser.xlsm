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69" documentId="8_{2A19A729-339A-45CF-8433-8A0F01AC4FEB}" xr6:coauthVersionLast="47" xr6:coauthVersionMax="47" xr10:uidLastSave="{D57E810B-502F-4948-AC53-6C20E6B6ABAE}"/>
  <bookViews>
    <workbookView xWindow="28680" yWindow="-120" windowWidth="29040" windowHeight="15720" xr2:uid="{AC2991D9-C2E0-487E-9B7C-E05B5184FE50}"/>
  </bookViews>
  <sheets>
    <sheet name="START" sheetId="2" r:id="rId1"/>
    <sheet name="Sheet1" sheetId="1" r:id="rId2"/>
  </sheets>
  <functionGroups builtInGroupCount="19"/>
  <externalReferences>
    <externalReference r:id="rId3"/>
  </externalReferences>
  <definedNames>
    <definedName name="Append_Data">START!$B$2</definedName>
    <definedName name="File_Path">START!$B$1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7" i="2"/>
  <c r="H6" i="2"/>
  <c r="H5" i="2"/>
  <c r="H4" i="2"/>
  <c r="H3" i="2"/>
  <c r="H2" i="2"/>
  <c r="H1" i="2"/>
</calcChain>
</file>

<file path=xl/sharedStrings.xml><?xml version="1.0" encoding="utf-8"?>
<sst xmlns="http://schemas.openxmlformats.org/spreadsheetml/2006/main" count="22" uniqueCount="15">
  <si>
    <t>File</t>
  </si>
  <si>
    <t>Modules</t>
  </si>
  <si>
    <t>Append new data</t>
  </si>
  <si>
    <t>Composites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</si>
  <si>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</si>
  <si>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</si>
  <si>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</si>
  <si>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</si>
  <si>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</si>
  <si>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</si>
  <si>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</si>
  <si>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</si>
  <si>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</si>
  <si>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"""C:\Users\clope1\OneDrive - Bayer\Documents\01 Trabajo\01 - Projects\DeltaVParser\fhx\PCL3.fhx"""</t>
  </si>
  <si>
    <t>C:\Users\clope1\OneDrive - Bayer\Documents\01 Trabajo\01 - Projects\DeltaVParser\fhx\SJC2020.fhx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</si>
</sst>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0" fontId="0" fillId="0" borderId="2" xfId="0" applyBorder="1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ayergroup-my.sharepoint.com/personal/claudio_lopez_bayer_com/Documents/Process%20FHX%20ZAR.xlsm" TargetMode="External"/><Relationship Id="rId1" Type="http://schemas.openxmlformats.org/officeDocument/2006/relationships/externalLinkPath" Target="/personal/claudio_lopez_bayer_com/Documents/Process%20FHX%20Z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NamingCheck"/>
      <sheetName val="LSAVTR"/>
      <sheetName val="LSDVTR"/>
      <sheetName val="LSCEMs"/>
      <sheetName val="CEM"/>
      <sheetName val="ALARMS"/>
      <sheetName val="DefaultAlarms"/>
      <sheetName val="ALARM GROUPS"/>
      <sheetName val="ProcessLog"/>
      <sheetName val="ErrorLog"/>
      <sheetName val="Filter"/>
      <sheetName val="DefaultValues"/>
      <sheetName val="Modules"/>
      <sheetName val="Composites"/>
      <sheetName val="Objects"/>
      <sheetName val="Wiring"/>
      <sheetName val="Attributes"/>
      <sheetName val="AlarmGro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BACK</v>
          </cell>
        </row>
        <row r="2">
          <cell r="A2" t="str">
            <v>SIF_MODULE</v>
          </cell>
        </row>
        <row r="3">
          <cell r="A3" t="str">
            <v>DRY_MTR-PRIMA</v>
          </cell>
        </row>
        <row r="4">
          <cell r="A4" t="str">
            <v>DRY_MTR-PRIMA</v>
          </cell>
        </row>
        <row r="5">
          <cell r="A5" t="str">
            <v>DRY_MTR-PRIMA</v>
          </cell>
        </row>
        <row r="6">
          <cell r="A6" t="str">
            <v>DRY_MTR-PRIMA</v>
          </cell>
        </row>
        <row r="7">
          <cell r="A7" t="str">
            <v>DRY_MTR-PRIMA</v>
          </cell>
        </row>
        <row r="8">
          <cell r="A8" t="str">
            <v>DRY_MTR-PRIMA</v>
          </cell>
        </row>
        <row r="9">
          <cell r="A9" t="str">
            <v>DRY_MTR-PRIMA</v>
          </cell>
        </row>
        <row r="10">
          <cell r="A10" t="str">
            <v>DRY_MTR-PRIMA</v>
          </cell>
        </row>
        <row r="11">
          <cell r="A11" t="str">
            <v>DRY_MTR-PRIMA</v>
          </cell>
        </row>
        <row r="12">
          <cell r="A12" t="str">
            <v>DRY_MTR-PRIMA</v>
          </cell>
        </row>
        <row r="13">
          <cell r="A13" t="str">
            <v>DRY_MTR-PRIMA</v>
          </cell>
        </row>
        <row r="14">
          <cell r="A14" t="str">
            <v>DRY_MTR-PRIMA</v>
          </cell>
        </row>
        <row r="15">
          <cell r="A15" t="str">
            <v>DRY_MTR-PRIMA</v>
          </cell>
        </row>
        <row r="16">
          <cell r="A16" t="str">
            <v>DRY_MTR-PRIMA</v>
          </cell>
        </row>
        <row r="17">
          <cell r="A17" t="str">
            <v>DRY_MTR-PRIMA</v>
          </cell>
        </row>
        <row r="18">
          <cell r="A18" t="str">
            <v>DRY_MTR-PRIMA</v>
          </cell>
        </row>
        <row r="19">
          <cell r="A19" t="str">
            <v>DRY_MTR-PRIMA</v>
          </cell>
        </row>
        <row r="20">
          <cell r="A20" t="str">
            <v>DRY_MTR-PRIMA</v>
          </cell>
        </row>
        <row r="21">
          <cell r="A21" t="str">
            <v>DRY_MTR-PRIMA</v>
          </cell>
        </row>
        <row r="22">
          <cell r="A22" t="str">
            <v>DRY_MTR-PRIMA</v>
          </cell>
        </row>
        <row r="23">
          <cell r="A23" t="str">
            <v>DRY_MTR-PRIMA</v>
          </cell>
        </row>
        <row r="24">
          <cell r="A24" t="str">
            <v>DRY_MTR-PRIMA</v>
          </cell>
        </row>
        <row r="25">
          <cell r="A25" t="str">
            <v>DRY_MTR-PRIMA</v>
          </cell>
        </row>
        <row r="26">
          <cell r="A26" t="str">
            <v>DRY_MTR-PRIMA</v>
          </cell>
        </row>
        <row r="27">
          <cell r="A27" t="str">
            <v>DRY_MTR-PRIMA</v>
          </cell>
        </row>
        <row r="28">
          <cell r="A28" t="str">
            <v>DRY_REACCION</v>
          </cell>
        </row>
        <row r="29">
          <cell r="A29" t="str">
            <v>DRY_REACCION</v>
          </cell>
        </row>
        <row r="30">
          <cell r="A30" t="str">
            <v>DRY_REACCION</v>
          </cell>
        </row>
        <row r="31">
          <cell r="A31" t="str">
            <v>DRY_REACCION</v>
          </cell>
        </row>
        <row r="32">
          <cell r="A32" t="str">
            <v>DRY_REACCION</v>
          </cell>
        </row>
        <row r="33">
          <cell r="A33" t="str">
            <v>DRY_REACCION</v>
          </cell>
        </row>
        <row r="34">
          <cell r="A34" t="str">
            <v>DRY_REACCION</v>
          </cell>
        </row>
        <row r="35">
          <cell r="A35" t="str">
            <v>DRY_REACCION</v>
          </cell>
        </row>
        <row r="36">
          <cell r="A36" t="str">
            <v>DRY_REACCION</v>
          </cell>
        </row>
        <row r="37">
          <cell r="A37" t="str">
            <v>DRY_REACCION</v>
          </cell>
        </row>
        <row r="38">
          <cell r="A38" t="str">
            <v>DRY_REACCION</v>
          </cell>
        </row>
        <row r="39">
          <cell r="A39" t="str">
            <v>DRY_REACCION</v>
          </cell>
        </row>
        <row r="40">
          <cell r="A40" t="str">
            <v>DRY_REACCION</v>
          </cell>
        </row>
        <row r="41">
          <cell r="A41" t="str">
            <v>DRY_REACCION</v>
          </cell>
        </row>
        <row r="42">
          <cell r="A42" t="str">
            <v>DRY_REACCION</v>
          </cell>
        </row>
        <row r="43">
          <cell r="A43" t="str">
            <v>DRY_REACCION</v>
          </cell>
        </row>
        <row r="44">
          <cell r="A44" t="str">
            <v>DRY_REACCION</v>
          </cell>
        </row>
        <row r="45">
          <cell r="A45" t="str">
            <v>DRY_REACCION</v>
          </cell>
        </row>
        <row r="46">
          <cell r="A46" t="str">
            <v>DRY_REACCION</v>
          </cell>
        </row>
        <row r="47">
          <cell r="A47" t="str">
            <v>DRY_REACCION</v>
          </cell>
        </row>
        <row r="48">
          <cell r="A48" t="str">
            <v>DRY_REACCION</v>
          </cell>
        </row>
        <row r="49">
          <cell r="A49" t="str">
            <v>DRY_REACCION</v>
          </cell>
        </row>
        <row r="50">
          <cell r="A50" t="str">
            <v>DRY_REACCION</v>
          </cell>
        </row>
        <row r="51">
          <cell r="A51" t="str">
            <v>DRY_REACCION</v>
          </cell>
        </row>
        <row r="52">
          <cell r="A52" t="str">
            <v>DRY_REACCION</v>
          </cell>
        </row>
        <row r="53">
          <cell r="A53" t="str">
            <v>DRY_REACCION</v>
          </cell>
        </row>
        <row r="54">
          <cell r="A54" t="str">
            <v>DRY_REACCION</v>
          </cell>
        </row>
        <row r="55">
          <cell r="A55" t="str">
            <v>DRY_REACCION</v>
          </cell>
        </row>
        <row r="56">
          <cell r="A56" t="str">
            <v>DRY_REACCION</v>
          </cell>
        </row>
        <row r="57">
          <cell r="A57" t="str">
            <v>DRY_REACCION</v>
          </cell>
        </row>
        <row r="58">
          <cell r="A58" t="str">
            <v>DRY_REACCION</v>
          </cell>
        </row>
        <row r="59">
          <cell r="A59" t="str">
            <v>DRY_REACCION</v>
          </cell>
        </row>
        <row r="60">
          <cell r="A60" t="str">
            <v>DRY_REACCION</v>
          </cell>
        </row>
        <row r="61">
          <cell r="A61" t="str">
            <v>DRY_REACCION</v>
          </cell>
        </row>
        <row r="62">
          <cell r="A62" t="str">
            <v>DRY_REACCION</v>
          </cell>
        </row>
        <row r="63">
          <cell r="A63" t="str">
            <v>DRY_REACCION</v>
          </cell>
        </row>
        <row r="64">
          <cell r="A64" t="str">
            <v>DRY_REACCION</v>
          </cell>
        </row>
        <row r="65">
          <cell r="A65" t="str">
            <v>DRY_REACCION</v>
          </cell>
        </row>
        <row r="66">
          <cell r="A66" t="str">
            <v>DRY_REACCION</v>
          </cell>
        </row>
        <row r="67">
          <cell r="A67" t="str">
            <v>DRY_REACCION</v>
          </cell>
        </row>
        <row r="68">
          <cell r="A68" t="str">
            <v>DRY_REACCION</v>
          </cell>
        </row>
        <row r="69">
          <cell r="A69" t="str">
            <v>DRY_REACCION</v>
          </cell>
        </row>
        <row r="70">
          <cell r="A70" t="str">
            <v>DRY_REACCION</v>
          </cell>
        </row>
        <row r="71">
          <cell r="A71" t="str">
            <v>DRY_REACCION</v>
          </cell>
        </row>
        <row r="72">
          <cell r="A72" t="str">
            <v>DRY_REACCION</v>
          </cell>
        </row>
        <row r="73">
          <cell r="A73" t="str">
            <v>DRY_REACCION</v>
          </cell>
        </row>
        <row r="74">
          <cell r="A74" t="str">
            <v>DRY_REACCION</v>
          </cell>
        </row>
        <row r="75">
          <cell r="A75" t="str">
            <v>DRY_REACCION</v>
          </cell>
        </row>
        <row r="76">
          <cell r="A76" t="str">
            <v>DRY_REACCION</v>
          </cell>
        </row>
        <row r="77">
          <cell r="A77" t="str">
            <v>DRY_REACCION</v>
          </cell>
        </row>
        <row r="78">
          <cell r="A78" t="str">
            <v>DRY_REACCION</v>
          </cell>
        </row>
        <row r="79">
          <cell r="A79" t="str">
            <v>DRY_REACCION</v>
          </cell>
        </row>
        <row r="80">
          <cell r="A80" t="str">
            <v>DRY_REACCION</v>
          </cell>
        </row>
        <row r="81">
          <cell r="A81" t="str">
            <v>DRY_REACCION</v>
          </cell>
        </row>
        <row r="82">
          <cell r="A82" t="str">
            <v>DRY_REACCION</v>
          </cell>
        </row>
        <row r="83">
          <cell r="A83" t="str">
            <v>DRY_REACCION</v>
          </cell>
        </row>
        <row r="84">
          <cell r="A84" t="str">
            <v>DRY_REACCION</v>
          </cell>
        </row>
        <row r="85">
          <cell r="A85" t="str">
            <v>DRY_REACCION</v>
          </cell>
        </row>
        <row r="86">
          <cell r="A86" t="str">
            <v>DRY_REACCION</v>
          </cell>
        </row>
        <row r="87">
          <cell r="A87" t="str">
            <v>DRY_REACCION</v>
          </cell>
        </row>
        <row r="88">
          <cell r="A88" t="str">
            <v>DRY_REACCION</v>
          </cell>
        </row>
        <row r="89">
          <cell r="A89" t="str">
            <v>DRY_REACCION</v>
          </cell>
        </row>
        <row r="90">
          <cell r="A90" t="str">
            <v>DRY_REACCION</v>
          </cell>
        </row>
        <row r="91">
          <cell r="A91" t="str">
            <v>DRY_REACCION</v>
          </cell>
        </row>
        <row r="92">
          <cell r="A92" t="str">
            <v>DRY_REACCION</v>
          </cell>
        </row>
      </sheetData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/>
      <sheetData sheetId="14"/>
      <sheetData sheetId="15"/>
      <sheetData sheetId="16" refreshError="1"/>
      <sheetData sheetId="17" refreshError="1"/>
      <sheetData sheetId="1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2"/>
  <sheetViews>
    <sheetView tabSelected="1" workbookViewId="0">
      <selection activeCell="B11" sqref="B11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14</v>
      </c>
      <c r="G1" s="1" t="s">
        <v>1</v>
      </c>
      <c r="H1" s="2">
        <f>COUNTA([1]!tbl_Modules[TAG])</f>
        <v>1</v>
      </c>
      <c r="I1" s="3" t="s">
        <v>1</v>
      </c>
      <c r="J1" s="4"/>
      <c r="K1" s="4"/>
      <c r="L1" s="4"/>
    </row>
    <row r="2" spans="1:12" x14ac:dyDescent="0.25">
      <c r="A2" s="1" t="s">
        <v>2</v>
      </c>
      <c r="B2" s="5" t="b">
        <v>0</v>
      </c>
      <c r="G2" s="1" t="s">
        <v>3</v>
      </c>
      <c r="H2" s="2">
        <f>COUNTA([1]!tbl_Composites[TAG])</f>
        <v>1</v>
      </c>
      <c r="I2" s="4"/>
      <c r="J2" s="4"/>
      <c r="K2" s="4"/>
      <c r="L2" s="4"/>
    </row>
    <row r="3" spans="1:12" x14ac:dyDescent="0.25">
      <c r="A3" s="1" t="s">
        <v>4</v>
      </c>
      <c r="B3" s="6">
        <v>0.74224537037037042</v>
      </c>
      <c r="G3" s="1" t="s">
        <v>5</v>
      </c>
      <c r="H3" s="2" t="e">
        <f>COUNTIF([1]!tbl_Objects[DEFINITION_TYPE],"LSAVTR")+COUNTIF([1]!tbl_Objects[DEFINITION_TYPE],"LSAVTR2")</f>
        <v>#REF!</v>
      </c>
      <c r="I3" s="3" t="s">
        <v>5</v>
      </c>
      <c r="J3" s="4"/>
      <c r="K3" s="4"/>
      <c r="L3" s="4"/>
    </row>
    <row r="4" spans="1:12" x14ac:dyDescent="0.25">
      <c r="A4" s="1" t="s">
        <v>6</v>
      </c>
      <c r="B4" s="7">
        <v>1.4814814814814814E-3</v>
      </c>
      <c r="G4" s="1" t="s">
        <v>7</v>
      </c>
      <c r="H4" s="2" t="e">
        <f>COUNTIF([1]!tbl_Objects[DEFINITION_TYPE],"LSDVTR")+COUNTIF([1]!tbl_Objects[DEFINITION_TYPE],"LSDVTR2")</f>
        <v>#REF!</v>
      </c>
      <c r="I4" s="3" t="s">
        <v>7</v>
      </c>
      <c r="J4" s="4"/>
      <c r="K4" s="4"/>
      <c r="L4" s="4"/>
    </row>
    <row r="5" spans="1:12" x14ac:dyDescent="0.25">
      <c r="G5" s="1" t="s">
        <v>8</v>
      </c>
      <c r="H5" s="2" t="e">
        <f>COUNTIF([1]!tbl_Objects[DEFINITION_TYPE],"LSCEM")</f>
        <v>#REF!</v>
      </c>
      <c r="I5" s="3" t="s">
        <v>8</v>
      </c>
      <c r="J5" s="3" t="s">
        <v>9</v>
      </c>
      <c r="K5" s="4"/>
      <c r="L5" s="4"/>
    </row>
    <row r="6" spans="1:12" x14ac:dyDescent="0.25">
      <c r="G6" s="8" t="s">
        <v>10</v>
      </c>
      <c r="H6" s="2">
        <f>COUNTA([1]ALARMS!$A:$A)-1</f>
        <v>91</v>
      </c>
      <c r="I6" s="3" t="s">
        <v>10</v>
      </c>
      <c r="J6" s="4"/>
      <c r="K6" s="4"/>
      <c r="L6" s="4"/>
    </row>
    <row r="7" spans="1:12" x14ac:dyDescent="0.25">
      <c r="G7" s="8" t="s">
        <v>11</v>
      </c>
      <c r="H7" s="2" t="e">
        <f>COUNTIF([1]!tbl_AlarmGroup[ATTRIBUTE],"DESCRIPTION")</f>
        <v>#REF!</v>
      </c>
      <c r="I7" s="3" t="s">
        <v>11</v>
      </c>
      <c r="J7" s="4"/>
      <c r="K7" s="4"/>
      <c r="L7" s="4"/>
    </row>
    <row r="8" spans="1:12" x14ac:dyDescent="0.25">
      <c r="G8" s="8" t="s">
        <v>12</v>
      </c>
      <c r="H8" s="2">
        <f>COUNTA([1]!tbl_Erros[Line])</f>
        <v>1</v>
      </c>
      <c r="I8" s="3" t="s">
        <v>12</v>
      </c>
      <c r="J8" s="4"/>
      <c r="K8" s="4"/>
      <c r="L8" s="4"/>
    </row>
    <row r="9" spans="1:12" x14ac:dyDescent="0.25">
      <c r="I9" s="4"/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B12" s="2" t="s">
        <v>13</v>
      </c>
      <c r="I12" s="4"/>
      <c r="J12" s="4"/>
      <c r="K12" s="4"/>
      <c r="L12" s="4"/>
    </row>
  </sheetData>
  <conditionalFormatting sqref="H8">
    <cfRule type="cellIs" dxfId="0" priority="1" operator="greaterThan">
      <formula>0</formula>
    </cfRule>
  </conditionalFormatting>
  <hyperlinks>
    <hyperlink ref="I1" location="Modules!A1" display="Modules!A1" xr:uid="{7B6C783A-929A-422D-85D0-580E7E8B0987}"/>
    <hyperlink ref="I3" location="LSAVTR!A1" display="LSAVTRs" xr:uid="{E8941A4F-0CA7-4F2E-B756-5FB0887C7523}"/>
    <hyperlink ref="I4" location="LSDVTR!A1" display="LSDVTRs" xr:uid="{F1EA24C6-781B-41EE-B836-C3E237CF0E29}"/>
    <hyperlink ref="I5" location="LSCEMs!A1" display="CEMs" xr:uid="{A6AFE5D0-199D-4E44-86DD-09B2FF3A0A1C}"/>
    <hyperlink ref="J5" location="CEM!A1" display="CEM" xr:uid="{140E6497-7524-4C23-B894-DCDC9199C0BD}"/>
    <hyperlink ref="I6" location="ALARMS!A1" display="Alarms" xr:uid="{149F506A-6EA1-4CB9-9A4E-44C6FFABDC56}"/>
    <hyperlink ref="I7" location="'ALARM GROUPS'!A1" display="Alarm Groups" xr:uid="{CAEA055F-6A2B-49A2-88F8-9C5A9DB17C12}"/>
    <hyperlink ref="I8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DC7BF-4AA4-4CD2-BA9F-62A379F4E885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headerFooter>
    <oddFooter>&amp;R_x000D_&amp;1#&amp;"Calibri"&amp;22&amp;KFF8939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START</vt:lpstr>
      <vt:lpstr>Sheet1</vt:lpstr>
      <vt:lpstr>Append_Data</vt:lpstr>
      <vt:lpstr>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2025-10-24T01:58:20Z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